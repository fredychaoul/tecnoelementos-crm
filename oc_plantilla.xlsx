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6a5c2d57e62f9d5/Escritorio/TecnoElementos/"/>
    </mc:Choice>
  </mc:AlternateContent>
  <xr:revisionPtr revIDLastSave="1217" documentId="8_{3B39DF65-EF2C-480D-B870-8C9169875EBE}" xr6:coauthVersionLast="47" xr6:coauthVersionMax="47" xr10:uidLastSave="{16D1FDB9-C5E2-46EE-8CBF-3DE4BAC2D819}"/>
  <bookViews>
    <workbookView xWindow="-120" yWindow="-120" windowWidth="20730" windowHeight="11040" xr2:uid="{00000000-000D-0000-FFFF-FFFF00000000}"/>
  </bookViews>
  <sheets>
    <sheet name="OC USD " sheetId="5" r:id="rId1"/>
  </sheets>
  <definedNames>
    <definedName name="_xlnm.Print_Area" localSheetId="0">'OC USD '!$A$1:$N$28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5" l="1"/>
  <c r="N21" i="5"/>
  <c r="N18" i="5"/>
  <c r="N20" i="5"/>
  <c r="N19" i="5"/>
  <c r="M4" i="5"/>
  <c r="N22" i="5" l="1"/>
  <c r="N24" i="5" s="1"/>
  <c r="N26" i="5" s="1"/>
  <c r="N29" i="5" s="1"/>
</calcChain>
</file>

<file path=xl/sharedStrings.xml><?xml version="1.0" encoding="utf-8"?>
<sst xmlns="http://schemas.openxmlformats.org/spreadsheetml/2006/main" count="47" uniqueCount="43">
  <si>
    <t>Para:</t>
  </si>
  <si>
    <t>Pisos Creativos, S. de R.L. de C.V.</t>
  </si>
  <si>
    <t>Contacto ó Vendedor</t>
  </si>
  <si>
    <t>Número de Cliente</t>
  </si>
  <si>
    <t>Fecha de Envío</t>
  </si>
  <si>
    <t>Número de Orden</t>
  </si>
  <si>
    <t>CANTIDAD</t>
  </si>
  <si>
    <t>UNIDAD</t>
  </si>
  <si>
    <t>TOTAL</t>
  </si>
  <si>
    <t>Sub Total</t>
  </si>
  <si>
    <t xml:space="preserve"> </t>
  </si>
  <si>
    <t>Fecha</t>
  </si>
  <si>
    <t>Nombre del Comprador</t>
  </si>
  <si>
    <t>OBSERVACIONES</t>
  </si>
  <si>
    <t>COLOR</t>
  </si>
  <si>
    <t>CLAVE</t>
  </si>
  <si>
    <t>Fletera</t>
  </si>
  <si>
    <t>NO</t>
  </si>
  <si>
    <t>DESCUENTO</t>
  </si>
  <si>
    <t>Facturar a:</t>
  </si>
  <si>
    <t>PRECIO UNITARIO</t>
  </si>
  <si>
    <t>Mercancía Asegurada</t>
  </si>
  <si>
    <t>DESCRIPCIÓN DE PRODUCTO</t>
  </si>
  <si>
    <t>LÍNEA</t>
  </si>
  <si>
    <t>SÍ</t>
  </si>
  <si>
    <t>USO DE CFDI</t>
  </si>
  <si>
    <t>FORMA DE PAGO</t>
  </si>
  <si>
    <t>Obra denominada:</t>
  </si>
  <si>
    <t>PTO. No.</t>
  </si>
  <si>
    <t xml:space="preserve">TIPO DE CAMBIO </t>
  </si>
  <si>
    <t>Dirección completa de Entrega :</t>
  </si>
  <si>
    <t>TOTAL      MN</t>
  </si>
  <si>
    <r>
      <rPr>
        <b/>
        <sz val="14"/>
        <color indexed="8"/>
        <rFont val="Calibri"/>
        <family val="2"/>
      </rPr>
      <t xml:space="preserve">  METODO DE PAGO</t>
    </r>
    <r>
      <rPr>
        <b/>
        <sz val="11"/>
        <color indexed="8"/>
        <rFont val="Calibri"/>
        <family val="2"/>
      </rPr>
      <t xml:space="preserve">          (PIP, PPD, PUE, POR DEFINIR)</t>
    </r>
  </si>
  <si>
    <t>TRANSFERENCIA</t>
  </si>
  <si>
    <t>PUE</t>
  </si>
  <si>
    <t>CD- 1205</t>
  </si>
  <si>
    <t>ADQUISICION DE MERCANCIA</t>
  </si>
  <si>
    <t>TRIBECA</t>
  </si>
  <si>
    <t>EMERALD KITCHENS</t>
  </si>
  <si>
    <t>VIRIDIANA JIMENEZ</t>
  </si>
  <si>
    <t>CAJAS</t>
  </si>
  <si>
    <t>SMOOTH OAK</t>
  </si>
  <si>
    <t>ZBOD22XL-20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</si>
</sst>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[$USD]\ #,##0.00"/>
    <numFmt numFmtId="165" formatCode="[$$-80A]#,##0.00;\-[$$-80A]#,##0.00"/>
    <numFmt numFmtId="166" formatCode="#,##0.0000"/>
  </numFmts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26262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1">
    <xf numFmtId="0" fontId="0" fillId="0" borderId="0" xfId="0"/>
    <xf numFmtId="0" fontId="4" fillId="0" borderId="0" xfId="0" applyFont="1"/>
    <xf numFmtId="1" fontId="0" fillId="0" borderId="0" xfId="0" applyNumberForma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justify"/>
    </xf>
    <xf numFmtId="0" fontId="5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44" fontId="3" fillId="0" borderId="0" xfId="1" applyFont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3" borderId="3" xfId="0" applyFont="1" applyFill="1" applyBorder="1" applyAlignment="1">
      <alignment horizontal="center"/>
    </xf>
    <xf numFmtId="1" fontId="8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4" fontId="9" fillId="5" borderId="4" xfId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4" fontId="4" fillId="0" borderId="0" xfId="1" applyFont="1" applyAlignment="1"/>
    <xf numFmtId="165" fontId="5" fillId="2" borderId="3" xfId="1" applyNumberFormat="1" applyFont="1" applyFill="1" applyBorder="1"/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166" fontId="5" fillId="6" borderId="1" xfId="1" applyNumberFormat="1" applyFont="1" applyFill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9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164" fontId="4" fillId="0" borderId="0" xfId="1" applyNumberFormat="1" applyFont="1" applyBorder="1" applyAlignment="1">
      <alignment vertical="center"/>
    </xf>
    <xf numFmtId="44" fontId="0" fillId="0" borderId="0" xfId="0" applyNumberForma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44" fontId="0" fillId="0" borderId="0" xfId="0" applyNumberFormat="1" applyAlignment="1">
      <alignment horizontal="center"/>
    </xf>
    <xf numFmtId="164" fontId="4" fillId="0" borderId="7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165" fontId="3" fillId="0" borderId="0" xfId="1" applyNumberFormat="1" applyFont="1"/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/>
    </xf>
    <xf numFmtId="14" fontId="5" fillId="5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justify"/>
    </xf>
    <xf numFmtId="0" fontId="4" fillId="4" borderId="5" xfId="0" applyFont="1" applyFill="1" applyBorder="1" applyAlignment="1">
      <alignment horizontal="center" vertical="justify"/>
    </xf>
    <xf numFmtId="0" fontId="4" fillId="4" borderId="3" xfId="0" applyFont="1" applyFill="1" applyBorder="1" applyAlignment="1">
      <alignment horizontal="center" vertical="justify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justify"/>
    </xf>
    <xf numFmtId="0" fontId="14" fillId="5" borderId="15" xfId="0" applyFont="1" applyFill="1" applyBorder="1" applyAlignment="1">
      <alignment horizontal="center" vertical="justify"/>
    </xf>
    <xf numFmtId="0" fontId="14" fillId="5" borderId="12" xfId="0" applyFont="1" applyFill="1" applyBorder="1" applyAlignment="1">
      <alignment horizontal="center" vertical="justify"/>
    </xf>
    <xf numFmtId="0" fontId="14" fillId="5" borderId="13" xfId="0" applyFont="1" applyFill="1" applyBorder="1" applyAlignment="1">
      <alignment horizontal="center" vertical="justify"/>
    </xf>
    <xf numFmtId="0" fontId="14" fillId="5" borderId="18" xfId="0" applyFont="1" applyFill="1" applyBorder="1" applyAlignment="1">
      <alignment horizontal="center" vertical="justify"/>
    </xf>
    <xf numFmtId="0" fontId="14" fillId="5" borderId="14" xfId="0" applyFont="1" applyFill="1" applyBorder="1" applyAlignment="1">
      <alignment horizontal="center" vertical="justify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 wrapText="1"/>
    </xf>
    <xf numFmtId="14" fontId="8" fillId="5" borderId="2" xfId="0" applyNumberFormat="1" applyFont="1" applyFill="1" applyBorder="1" applyAlignment="1">
      <alignment horizontal="center" vertical="center"/>
    </xf>
    <xf numFmtId="14" fontId="8" fillId="5" borderId="3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44" fontId="4" fillId="3" borderId="19" xfId="1" applyFont="1" applyFill="1" applyBorder="1" applyAlignment="1">
      <alignment horizontal="center" vertical="center"/>
    </xf>
    <xf numFmtId="44" fontId="4" fillId="3" borderId="24" xfId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top" wrapText="1"/>
    </xf>
    <xf numFmtId="0" fontId="18" fillId="0" borderId="28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64" fontId="4" fillId="0" borderId="20" xfId="1" applyNumberFormat="1" applyFont="1" applyBorder="1" applyAlignment="1">
      <alignment horizontal="center" vertical="center"/>
    </xf>
    <xf numFmtId="164" fontId="4" fillId="0" borderId="21" xfId="1" applyNumberFormat="1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0" borderId="29" xfId="0" applyFont="1" applyBorder="1" applyAlignment="1">
      <alignment horizontal="center" vertical="top" wrapText="1"/>
    </xf>
    <xf numFmtId="0" fontId="18" fillId="0" borderId="30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/>
    </xf>
    <xf numFmtId="164" fontId="4" fillId="0" borderId="10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22" xfId="1" applyNumberFormat="1" applyFont="1" applyBorder="1" applyAlignment="1">
      <alignment horizontal="center" vertical="center"/>
    </xf>
    <xf numFmtId="164" fontId="4" fillId="0" borderId="23" xfId="1" applyNumberFormat="1" applyFont="1" applyBorder="1" applyAlignment="1">
      <alignment horizontal="center" vertical="center"/>
    </xf>
    <xf numFmtId="0" fontId="7" fillId="7" borderId="13" xfId="0" applyFont="1" applyFill="1" applyBorder="1" applyAlignment="1">
      <alignment horizontal="left" vertical="center" wrapText="1"/>
    </xf>
    <xf numFmtId="0" fontId="7" fillId="7" borderId="18" xfId="0" applyFont="1" applyFill="1" applyBorder="1" applyAlignment="1">
      <alignment horizontal="left" vertical="center" wrapText="1"/>
    </xf>
    <xf numFmtId="0" fontId="7" fillId="7" borderId="14" xfId="0" applyFont="1" applyFill="1" applyBorder="1" applyAlignment="1">
      <alignment horizontal="left" vertical="center" wrapText="1"/>
    </xf>
    <xf numFmtId="0" fontId="4" fillId="6" borderId="11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left" vertical="center" wrapText="1"/>
    </xf>
    <xf numFmtId="0" fontId="7" fillId="7" borderId="15" xfId="0" applyFont="1" applyFill="1" applyBorder="1" applyAlignment="1">
      <alignment horizontal="left" vertical="center" wrapText="1"/>
    </xf>
    <xf numFmtId="0" fontId="7" fillId="7" borderId="12" xfId="0" applyFont="1" applyFill="1" applyBorder="1" applyAlignment="1">
      <alignment horizontal="left" vertical="center" wrapText="1"/>
    </xf>
    <xf numFmtId="0" fontId="5" fillId="7" borderId="11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7" fillId="7" borderId="17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1"/>
  <sheetViews>
    <sheetView tabSelected="1" topLeftCell="A16" zoomScaleNormal="100" workbookViewId="0">
      <selection activeCell="C18" sqref="C18:D18"/>
    </sheetView>
  </sheetViews>
  <sheetFormatPr baseColWidth="10" defaultColWidth="10.7109375" defaultRowHeight="15" x14ac:dyDescent="0.25"/>
  <cols>
    <col min="1" max="1" width="13.42578125" customWidth="1"/>
    <col min="2" max="2" width="18.7109375" customWidth="1"/>
    <col min="3" max="3" width="8.140625" customWidth="1"/>
    <col min="4" max="4" width="9.28515625" customWidth="1"/>
    <col min="5" max="5" width="15.140625" customWidth="1"/>
    <col min="6" max="6" width="7.85546875" customWidth="1"/>
    <col min="7" max="7" width="12.7109375" customWidth="1"/>
    <col min="8" max="8" width="8.42578125" customWidth="1"/>
    <col min="9" max="9" width="9.42578125" customWidth="1"/>
    <col min="10" max="13" width="6.7109375" customWidth="1"/>
    <col min="14" max="14" width="21.7109375" style="9" customWidth="1"/>
    <col min="16" max="16" width="12.140625" bestFit="1" customWidth="1"/>
    <col min="17" max="17" width="0" hidden="1" customWidth="1"/>
    <col min="18" max="18" width="14.140625" bestFit="1" customWidth="1"/>
  </cols>
  <sheetData>
    <row r="1" spans="1:19" ht="17.25" customHeight="1" x14ac:dyDescent="0.25">
      <c r="A1" s="49"/>
      <c r="B1" s="49"/>
      <c r="C1" s="49"/>
      <c r="D1" s="49"/>
      <c r="E1" s="50" t="s">
        <v>10</v>
      </c>
      <c r="F1" s="50"/>
      <c r="G1" s="50"/>
      <c r="H1" s="50"/>
      <c r="I1" s="50"/>
      <c r="J1" s="50"/>
      <c r="K1" s="50"/>
      <c r="L1" s="50"/>
      <c r="M1" s="50"/>
      <c r="N1" s="50"/>
      <c r="O1" s="10"/>
      <c r="P1" s="10"/>
    </row>
    <row r="2" spans="1:19" ht="19.5" customHeight="1" x14ac:dyDescent="0.25">
      <c r="A2" s="49"/>
      <c r="B2" s="49"/>
      <c r="C2" s="49"/>
      <c r="D2" s="49"/>
      <c r="E2" s="50"/>
      <c r="F2" s="50"/>
      <c r="G2" s="50"/>
      <c r="H2" s="50"/>
      <c r="I2" s="50"/>
      <c r="J2" s="50"/>
      <c r="K2" s="50"/>
      <c r="L2" s="50"/>
      <c r="M2" s="50"/>
      <c r="N2" s="50"/>
      <c r="O2" s="10"/>
      <c r="P2" s="10"/>
    </row>
    <row r="3" spans="1:19" ht="15" customHeight="1" thickBot="1" x14ac:dyDescent="0.3">
      <c r="A3" s="49"/>
      <c r="B3" s="49"/>
      <c r="C3" s="49"/>
      <c r="D3" s="49"/>
      <c r="E3" s="50"/>
      <c r="F3" s="50"/>
      <c r="G3" s="50"/>
      <c r="H3" s="50"/>
      <c r="I3" s="50"/>
      <c r="J3" s="50"/>
      <c r="K3" s="50"/>
      <c r="L3" s="50"/>
      <c r="M3" s="50"/>
      <c r="N3" s="50"/>
      <c r="O3" s="10"/>
      <c r="P3" s="10"/>
    </row>
    <row r="4" spans="1:19" s="11" customFormat="1" ht="33.75" customHeight="1" thickBot="1" x14ac:dyDescent="0.3">
      <c r="A4" s="6" t="s">
        <v>5</v>
      </c>
      <c r="B4" s="13">
        <v>76</v>
      </c>
      <c r="C4" s="2"/>
      <c r="D4"/>
      <c r="E4" s="43" t="s">
        <v>3</v>
      </c>
      <c r="F4" s="44"/>
      <c r="G4" s="45" t="s">
        <v>35</v>
      </c>
      <c r="H4" s="46"/>
      <c r="I4"/>
      <c r="J4" s="43" t="s">
        <v>11</v>
      </c>
      <c r="K4" s="51"/>
      <c r="L4" s="44"/>
      <c r="M4" s="47">
        <f ca="1">TODAY()</f>
        <v>46189</v>
      </c>
      <c r="N4" s="48"/>
    </row>
    <row r="5" spans="1:19" s="11" customFormat="1" ht="15.75" thickBot="1" x14ac:dyDescent="0.3">
      <c r="A5"/>
      <c r="B5"/>
      <c r="C5"/>
      <c r="D5"/>
      <c r="E5"/>
      <c r="F5"/>
      <c r="G5"/>
      <c r="H5"/>
      <c r="I5"/>
      <c r="J5"/>
      <c r="K5"/>
      <c r="L5"/>
      <c r="M5"/>
      <c r="N5"/>
    </row>
    <row r="6" spans="1:19" s="11" customFormat="1" ht="16.5" thickBot="1" x14ac:dyDescent="0.3">
      <c r="A6" s="55" t="s">
        <v>0</v>
      </c>
      <c r="B6" s="56"/>
      <c r="C6" s="57" t="s">
        <v>19</v>
      </c>
      <c r="D6" s="58"/>
      <c r="E6" s="58"/>
      <c r="F6" s="58"/>
      <c r="G6" s="58"/>
      <c r="H6" s="59"/>
      <c r="I6" s="57" t="s">
        <v>27</v>
      </c>
      <c r="J6" s="58"/>
      <c r="K6" s="58"/>
      <c r="L6" s="58"/>
      <c r="M6" s="59"/>
      <c r="N6" s="12" t="s">
        <v>28</v>
      </c>
    </row>
    <row r="7" spans="1:19" s="11" customFormat="1" ht="23.25" customHeight="1" thickBot="1" x14ac:dyDescent="0.3">
      <c r="A7" s="60" t="s">
        <v>1</v>
      </c>
      <c r="B7" s="61"/>
      <c r="C7" s="64" t="s">
        <v>38</v>
      </c>
      <c r="D7" s="65"/>
      <c r="E7" s="65"/>
      <c r="F7" s="65"/>
      <c r="G7" s="65"/>
      <c r="H7" s="66"/>
      <c r="I7" s="73"/>
      <c r="J7" s="74"/>
      <c r="K7" s="74"/>
      <c r="L7" s="74"/>
      <c r="M7" s="75"/>
      <c r="N7" s="14" t="s">
        <v>10</v>
      </c>
    </row>
    <row r="8" spans="1:19" s="11" customFormat="1" ht="23.25" customHeight="1" thickBot="1" x14ac:dyDescent="0.3">
      <c r="A8" s="62"/>
      <c r="B8" s="63"/>
      <c r="C8" s="67"/>
      <c r="D8" s="68"/>
      <c r="E8" s="68"/>
      <c r="F8" s="68"/>
      <c r="G8" s="68"/>
      <c r="H8" s="69"/>
      <c r="I8" s="76"/>
      <c r="J8" s="77"/>
      <c r="K8" s="77"/>
      <c r="L8" s="77"/>
      <c r="M8" s="78"/>
      <c r="N8" s="14" t="s">
        <v>10</v>
      </c>
    </row>
    <row r="9" spans="1:19" s="11" customFormat="1" ht="15.75" customHeight="1" thickBot="1" x14ac:dyDescent="0.3">
      <c r="A9" s="55" t="s">
        <v>2</v>
      </c>
      <c r="B9" s="56"/>
      <c r="C9" s="67"/>
      <c r="D9" s="68"/>
      <c r="E9" s="68"/>
      <c r="F9" s="68"/>
      <c r="G9" s="68"/>
      <c r="H9" s="69"/>
      <c r="I9" s="57" t="s">
        <v>30</v>
      </c>
      <c r="J9" s="58"/>
      <c r="K9" s="58"/>
      <c r="L9" s="58"/>
      <c r="M9" s="58"/>
      <c r="N9" s="59"/>
    </row>
    <row r="10" spans="1:19" s="11" customFormat="1" ht="25.5" customHeight="1" thickBot="1" x14ac:dyDescent="0.3">
      <c r="A10" s="79" t="s">
        <v>39</v>
      </c>
      <c r="B10" s="80"/>
      <c r="C10" s="67"/>
      <c r="D10" s="68"/>
      <c r="E10" s="68"/>
      <c r="F10" s="68"/>
      <c r="G10" s="68"/>
      <c r="H10" s="69"/>
      <c r="I10" s="81"/>
      <c r="J10" s="65"/>
      <c r="K10" s="65"/>
      <c r="L10" s="65"/>
      <c r="M10" s="65"/>
      <c r="N10" s="66"/>
    </row>
    <row r="11" spans="1:19" s="11" customFormat="1" ht="22.5" customHeight="1" thickBot="1" x14ac:dyDescent="0.3">
      <c r="A11" s="55" t="s">
        <v>4</v>
      </c>
      <c r="B11" s="56"/>
      <c r="C11" s="67"/>
      <c r="D11" s="68"/>
      <c r="E11" s="68"/>
      <c r="F11" s="68"/>
      <c r="G11" s="68"/>
      <c r="H11" s="69"/>
      <c r="I11" s="67"/>
      <c r="J11" s="68"/>
      <c r="K11" s="68"/>
      <c r="L11" s="68"/>
      <c r="M11" s="68"/>
      <c r="N11" s="69"/>
    </row>
    <row r="12" spans="1:19" s="11" customFormat="1" ht="33" customHeight="1" thickBot="1" x14ac:dyDescent="0.3">
      <c r="A12" s="82"/>
      <c r="B12" s="83"/>
      <c r="C12" s="70"/>
      <c r="D12" s="71"/>
      <c r="E12" s="71"/>
      <c r="F12" s="71"/>
      <c r="G12" s="71"/>
      <c r="H12" s="72"/>
      <c r="I12" s="70"/>
      <c r="J12" s="71"/>
      <c r="K12" s="71"/>
      <c r="L12" s="71"/>
      <c r="M12" s="71"/>
      <c r="N12" s="72"/>
    </row>
    <row r="13" spans="1:19" s="11" customFormat="1" ht="40.5" customHeight="1" thickBot="1" x14ac:dyDescent="0.3">
      <c r="A13" s="84" t="s">
        <v>16</v>
      </c>
      <c r="B13" s="85"/>
      <c r="C13" s="84" t="s">
        <v>21</v>
      </c>
      <c r="D13" s="86"/>
      <c r="E13" s="86"/>
      <c r="F13" s="85"/>
      <c r="G13" s="87" t="s">
        <v>25</v>
      </c>
      <c r="H13" s="88"/>
      <c r="I13" s="89"/>
      <c r="J13" s="52" t="s">
        <v>32</v>
      </c>
      <c r="K13" s="53"/>
      <c r="L13" s="53"/>
      <c r="M13" s="54"/>
      <c r="N13" s="8" t="s">
        <v>26</v>
      </c>
    </row>
    <row r="14" spans="1:19" s="11" customFormat="1" ht="24" customHeight="1" thickBot="1" x14ac:dyDescent="0.3">
      <c r="A14" s="79"/>
      <c r="B14" s="80"/>
      <c r="C14" s="7" t="s">
        <v>24</v>
      </c>
      <c r="D14" s="16"/>
      <c r="E14" s="18" t="s">
        <v>17</v>
      </c>
      <c r="F14" s="17" t="s">
        <v>10</v>
      </c>
      <c r="G14" s="95" t="s">
        <v>36</v>
      </c>
      <c r="H14" s="96"/>
      <c r="I14" s="97"/>
      <c r="J14" s="98" t="s">
        <v>34</v>
      </c>
      <c r="K14" s="99"/>
      <c r="L14" s="99"/>
      <c r="M14" s="100"/>
      <c r="N14" s="15" t="s">
        <v>33</v>
      </c>
    </row>
    <row r="15" spans="1:19" ht="18" customHeight="1" thickBot="1" x14ac:dyDescent="0.3">
      <c r="A15" s="101" t="s">
        <v>6</v>
      </c>
      <c r="B15" s="101" t="s">
        <v>7</v>
      </c>
      <c r="C15" s="43" t="s">
        <v>22</v>
      </c>
      <c r="D15" s="51"/>
      <c r="E15" s="51"/>
      <c r="F15" s="51"/>
      <c r="G15" s="44"/>
      <c r="H15" s="103" t="s">
        <v>20</v>
      </c>
      <c r="I15" s="104"/>
      <c r="J15" s="43" t="s">
        <v>18</v>
      </c>
      <c r="K15" s="51"/>
      <c r="L15" s="51"/>
      <c r="M15" s="44"/>
      <c r="N15" s="90" t="s">
        <v>9</v>
      </c>
    </row>
    <row r="16" spans="1:19" ht="18" customHeight="1" thickBot="1" x14ac:dyDescent="0.3">
      <c r="A16" s="102"/>
      <c r="B16" s="102"/>
      <c r="C16" s="92" t="s">
        <v>15</v>
      </c>
      <c r="D16" s="93"/>
      <c r="E16" s="3" t="s">
        <v>23</v>
      </c>
      <c r="F16" s="92" t="s">
        <v>14</v>
      </c>
      <c r="G16" s="94"/>
      <c r="H16" s="105"/>
      <c r="I16" s="106"/>
      <c r="J16" s="4">
        <v>1</v>
      </c>
      <c r="K16" s="5">
        <v>2</v>
      </c>
      <c r="L16" s="5">
        <v>3</v>
      </c>
      <c r="M16" s="5">
        <v>4</v>
      </c>
      <c r="N16" s="91"/>
      <c r="P16" s="31"/>
      <c r="S16" s="31"/>
    </row>
    <row r="17" spans="1:23" s="11" customFormat="1" ht="25.5" customHeight="1" thickBot="1" x14ac:dyDescent="0.3">
      <c r="A17" s="26">
        <v>4</v>
      </c>
      <c r="B17" s="24" t="s">
        <v>40</v>
      </c>
      <c r="C17" s="116" t="s">
        <v>42</v>
      </c>
      <c r="D17" s="117"/>
      <c r="E17" s="29" t="s">
        <v>37</v>
      </c>
      <c r="F17" s="109" t="s">
        <v>41</v>
      </c>
      <c r="G17" s="110"/>
      <c r="H17" s="111">
        <v>98.2</v>
      </c>
      <c r="I17" s="112"/>
      <c r="J17" s="25">
        <v>0.4</v>
      </c>
      <c r="K17" s="25">
        <v>0.1</v>
      </c>
      <c r="L17" s="25">
        <v>0.12</v>
      </c>
      <c r="M17" s="25"/>
      <c r="N17" s="39">
        <f>A17*H17*(1-J17)*(1-K17)*(1-L17)*(1-M17)</f>
        <v>186.65856000000002</v>
      </c>
      <c r="O17" s="35"/>
      <c r="P17" s="40"/>
      <c r="R17" s="41"/>
      <c r="S17" s="40"/>
      <c r="T17" s="41"/>
    </row>
    <row r="18" spans="1:23" s="11" customFormat="1" ht="25.5" customHeight="1" thickBot="1" x14ac:dyDescent="0.3">
      <c r="A18" s="26"/>
      <c r="B18" s="24"/>
      <c r="C18" s="107"/>
      <c r="D18" s="108"/>
      <c r="E18" s="29"/>
      <c r="F18" s="109"/>
      <c r="G18" s="110"/>
      <c r="H18" s="111"/>
      <c r="I18" s="112"/>
      <c r="J18" s="25"/>
      <c r="K18" s="25"/>
      <c r="L18" s="25"/>
      <c r="M18" s="25"/>
      <c r="N18" s="39">
        <f>A18*H18*(1-J18)*(1-K18)*(1-L18)*(1-M18)</f>
        <v>0</v>
      </c>
      <c r="O18" s="41"/>
      <c r="P18" s="40"/>
      <c r="S18" s="31"/>
    </row>
    <row r="19" spans="1:23" s="11" customFormat="1" ht="25.5" customHeight="1" thickBot="1" x14ac:dyDescent="0.3">
      <c r="A19" s="27"/>
      <c r="B19" s="24"/>
      <c r="C19" s="114"/>
      <c r="D19" s="115"/>
      <c r="E19" s="29"/>
      <c r="F19" s="109"/>
      <c r="G19" s="110"/>
      <c r="H19" s="111"/>
      <c r="I19" s="112"/>
      <c r="J19" s="25"/>
      <c r="K19" s="25"/>
      <c r="L19" s="25"/>
      <c r="M19" s="25"/>
      <c r="N19" s="39">
        <f>A19*H19*(1-J19)*(1-K19)*(1-L19)*(1-M19)</f>
        <v>0</v>
      </c>
      <c r="O19" s="36"/>
      <c r="P19" s="37"/>
      <c r="Q19" s="32"/>
      <c r="R19" s="32"/>
      <c r="S19" s="32"/>
      <c r="T19" s="32"/>
      <c r="U19" s="32"/>
      <c r="V19" s="33"/>
      <c r="W19" s="32"/>
    </row>
    <row r="20" spans="1:23" ht="22.5" customHeight="1" thickBot="1" x14ac:dyDescent="0.3">
      <c r="A20" s="21"/>
      <c r="B20" s="24"/>
      <c r="C20" s="107"/>
      <c r="D20" s="108"/>
      <c r="E20" s="29"/>
      <c r="F20" s="109"/>
      <c r="G20" s="110"/>
      <c r="H20" s="113"/>
      <c r="I20" s="113"/>
      <c r="J20" s="25"/>
      <c r="K20" s="25"/>
      <c r="L20" s="25"/>
      <c r="M20" s="25"/>
      <c r="N20" s="39">
        <f>A20*H20*(1-J20)*(1-K20)*(1-L20)*(1-M20)</f>
        <v>0</v>
      </c>
      <c r="O20" s="38"/>
      <c r="P20" s="36"/>
      <c r="Q20" s="30"/>
      <c r="R20" s="31"/>
      <c r="S20" s="30"/>
      <c r="T20" s="30"/>
      <c r="U20" s="30"/>
      <c r="V20" s="30"/>
      <c r="W20" s="30"/>
    </row>
    <row r="21" spans="1:23" ht="22.5" customHeight="1" thickBot="1" x14ac:dyDescent="0.3">
      <c r="A21" s="28"/>
      <c r="B21" s="22"/>
      <c r="C21" s="118"/>
      <c r="D21" s="118"/>
      <c r="E21" s="34"/>
      <c r="F21" s="109"/>
      <c r="G21" s="110"/>
      <c r="H21" s="119"/>
      <c r="I21" s="119"/>
      <c r="J21" s="25"/>
      <c r="K21" s="25"/>
      <c r="L21" s="25"/>
      <c r="M21" s="25"/>
      <c r="N21" s="39">
        <f>A21*H21*(1-J21)*(1-K21)*(1-L21)*(1-M21)</f>
        <v>0</v>
      </c>
      <c r="O21" s="30"/>
      <c r="P21" s="30"/>
      <c r="Q21" s="30"/>
      <c r="R21" s="30"/>
      <c r="S21" s="31"/>
      <c r="T21" s="30"/>
      <c r="U21" s="30"/>
      <c r="V21" s="30"/>
      <c r="W21" s="30"/>
    </row>
    <row r="22" spans="1:23" ht="15.75" thickBot="1" x14ac:dyDescent="0.3">
      <c r="A22" s="21"/>
      <c r="B22" s="21"/>
      <c r="C22" s="120"/>
      <c r="D22" s="120"/>
      <c r="E22" s="21"/>
      <c r="F22" s="120"/>
      <c r="G22" s="120"/>
      <c r="H22" s="120"/>
      <c r="I22" s="120"/>
      <c r="J22" s="1"/>
      <c r="K22" s="142" t="s">
        <v>9</v>
      </c>
      <c r="L22" s="142"/>
      <c r="M22" s="142"/>
      <c r="N22" s="121">
        <f>SUM(N17:N21)</f>
        <v>186.65856000000002</v>
      </c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.75" thickBot="1" x14ac:dyDescent="0.3">
      <c r="A23" s="55" t="s">
        <v>12</v>
      </c>
      <c r="B23" s="143"/>
      <c r="C23" s="143"/>
      <c r="D23" s="143"/>
      <c r="E23" s="143"/>
      <c r="F23" s="143"/>
      <c r="G23" s="143"/>
      <c r="H23" s="143"/>
      <c r="I23" s="56"/>
      <c r="J23" s="1"/>
      <c r="K23" s="142"/>
      <c r="L23" s="142"/>
      <c r="M23" s="142"/>
      <c r="N23" s="122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19.5" thickBot="1" x14ac:dyDescent="0.3">
      <c r="A24" s="144"/>
      <c r="B24" s="145"/>
      <c r="C24" s="145"/>
      <c r="D24" s="145"/>
      <c r="E24" s="145"/>
      <c r="F24" s="145"/>
      <c r="G24" s="145"/>
      <c r="H24" s="145"/>
      <c r="I24" s="146"/>
      <c r="J24" s="1"/>
      <c r="K24" s="147">
        <v>0.16</v>
      </c>
      <c r="L24" s="147"/>
      <c r="M24" s="142"/>
      <c r="N24" s="121">
        <f>+N22*K24</f>
        <v>29.865369600000005</v>
      </c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.75" thickBot="1" x14ac:dyDescent="0.3">
      <c r="A25" s="148" t="s">
        <v>13</v>
      </c>
      <c r="B25" s="149"/>
      <c r="C25" s="149"/>
      <c r="D25" s="149"/>
      <c r="E25" s="149"/>
      <c r="F25" s="149"/>
      <c r="G25" s="149"/>
      <c r="H25" s="149"/>
      <c r="I25" s="150"/>
      <c r="J25" s="1"/>
      <c r="K25" s="142"/>
      <c r="L25" s="142"/>
      <c r="M25" s="142"/>
      <c r="N25" s="122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6.5" customHeight="1" x14ac:dyDescent="0.25">
      <c r="A26" s="130"/>
      <c r="B26" s="131"/>
      <c r="C26" s="131"/>
      <c r="D26" s="131"/>
      <c r="E26" s="131"/>
      <c r="F26" s="131"/>
      <c r="G26" s="131"/>
      <c r="H26" s="131"/>
      <c r="I26" s="132"/>
      <c r="J26" s="1"/>
      <c r="K26" s="133" t="s">
        <v>8</v>
      </c>
      <c r="L26" s="134"/>
      <c r="M26" s="135"/>
      <c r="N26" s="121">
        <f>+N22+N24</f>
        <v>216.52392960000003</v>
      </c>
    </row>
    <row r="27" spans="1:23" ht="15" customHeight="1" thickBot="1" x14ac:dyDescent="0.3">
      <c r="A27" s="139"/>
      <c r="B27" s="140"/>
      <c r="C27" s="140"/>
      <c r="D27" s="140"/>
      <c r="E27" s="140"/>
      <c r="F27" s="140"/>
      <c r="G27" s="140"/>
      <c r="H27" s="140"/>
      <c r="I27" s="141"/>
      <c r="J27" s="1"/>
      <c r="K27" s="136"/>
      <c r="L27" s="137"/>
      <c r="M27" s="138"/>
      <c r="N27" s="122"/>
    </row>
    <row r="28" spans="1:23" ht="19.5" customHeight="1" thickBot="1" x14ac:dyDescent="0.3">
      <c r="A28" s="139"/>
      <c r="B28" s="140"/>
      <c r="C28" s="140"/>
      <c r="D28" s="140"/>
      <c r="E28" s="140"/>
      <c r="F28" s="140"/>
      <c r="G28" s="140"/>
      <c r="H28" s="140"/>
      <c r="I28" s="141"/>
      <c r="J28" s="1"/>
      <c r="K28" s="126" t="s">
        <v>29</v>
      </c>
      <c r="L28" s="127"/>
      <c r="M28" s="128"/>
      <c r="N28" s="23">
        <v>17.3508</v>
      </c>
      <c r="O28" s="19"/>
    </row>
    <row r="29" spans="1:23" ht="19.5" thickBot="1" x14ac:dyDescent="0.35">
      <c r="A29" s="123"/>
      <c r="B29" s="124"/>
      <c r="C29" s="124"/>
      <c r="D29" s="124"/>
      <c r="E29" s="124"/>
      <c r="F29" s="124"/>
      <c r="G29" s="124"/>
      <c r="H29" s="124"/>
      <c r="I29" s="125"/>
      <c r="J29" s="1"/>
      <c r="K29" s="92" t="s">
        <v>31</v>
      </c>
      <c r="L29" s="129"/>
      <c r="M29" s="93"/>
      <c r="N29" s="20">
        <f>+N26*N28</f>
        <v>3756.8633977036802</v>
      </c>
    </row>
    <row r="30" spans="1:23" x14ac:dyDescent="0.25">
      <c r="G30" s="1"/>
      <c r="H30" s="1"/>
      <c r="I30" s="1"/>
    </row>
    <row r="31" spans="1:23" x14ac:dyDescent="0.25">
      <c r="N31" s="42"/>
    </row>
  </sheetData>
  <mergeCells count="66">
    <mergeCell ref="N24:N25"/>
    <mergeCell ref="N22:N23"/>
    <mergeCell ref="N26:N27"/>
    <mergeCell ref="A29:I29"/>
    <mergeCell ref="K28:M28"/>
    <mergeCell ref="K29:M29"/>
    <mergeCell ref="A26:I26"/>
    <mergeCell ref="K26:M27"/>
    <mergeCell ref="A27:I27"/>
    <mergeCell ref="A28:I28"/>
    <mergeCell ref="K22:M23"/>
    <mergeCell ref="A23:I23"/>
    <mergeCell ref="A24:I24"/>
    <mergeCell ref="K24:M25"/>
    <mergeCell ref="A25:I25"/>
    <mergeCell ref="C21:D21"/>
    <mergeCell ref="F21:G21"/>
    <mergeCell ref="H21:I21"/>
    <mergeCell ref="C22:D22"/>
    <mergeCell ref="F22:G22"/>
    <mergeCell ref="H22:I22"/>
    <mergeCell ref="C18:D18"/>
    <mergeCell ref="F17:G17"/>
    <mergeCell ref="H17:I17"/>
    <mergeCell ref="C20:D20"/>
    <mergeCell ref="F20:G20"/>
    <mergeCell ref="H19:I19"/>
    <mergeCell ref="H20:I20"/>
    <mergeCell ref="H18:I18"/>
    <mergeCell ref="F19:G19"/>
    <mergeCell ref="C19:D19"/>
    <mergeCell ref="F18:G18"/>
    <mergeCell ref="C17:D17"/>
    <mergeCell ref="N15:N16"/>
    <mergeCell ref="C16:D16"/>
    <mergeCell ref="F16:G16"/>
    <mergeCell ref="A14:B14"/>
    <mergeCell ref="G14:I14"/>
    <mergeCell ref="J14:M14"/>
    <mergeCell ref="A15:A16"/>
    <mergeCell ref="B15:B16"/>
    <mergeCell ref="C15:G15"/>
    <mergeCell ref="H15:I16"/>
    <mergeCell ref="J15:M15"/>
    <mergeCell ref="J13:M13"/>
    <mergeCell ref="A6:B6"/>
    <mergeCell ref="C6:H6"/>
    <mergeCell ref="I6:M6"/>
    <mergeCell ref="A7:B8"/>
    <mergeCell ref="C7:H12"/>
    <mergeCell ref="I7:M8"/>
    <mergeCell ref="A9:B9"/>
    <mergeCell ref="I9:N9"/>
    <mergeCell ref="A10:B10"/>
    <mergeCell ref="I10:N12"/>
    <mergeCell ref="A11:B11"/>
    <mergeCell ref="A12:B12"/>
    <mergeCell ref="A13:B13"/>
    <mergeCell ref="C13:F13"/>
    <mergeCell ref="G13:I13"/>
    <mergeCell ref="E4:F4"/>
    <mergeCell ref="G4:H4"/>
    <mergeCell ref="M4:N4"/>
    <mergeCell ref="A1:D3"/>
    <mergeCell ref="E1:N3"/>
    <mergeCell ref="J4:L4"/>
  </mergeCells>
  <pageMargins left="0.7" right="0.7" top="0.75" bottom="0.75" header="0.3" footer="0.3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OC USD </vt:lpstr>
      <vt:lpstr>'OC USD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Fredy Chaoul</cp:lastModifiedBy>
  <cp:lastPrinted>2025-05-21T19:10:33Z</cp:lastPrinted>
  <dcterms:created xsi:type="dcterms:W3CDTF">2012-08-06T03:21:21Z</dcterms:created>
  <dcterms:modified xsi:type="dcterms:W3CDTF">2026-06-16T17:46:15Z</dcterms:modified>
</cp:coreProperties>
</file>